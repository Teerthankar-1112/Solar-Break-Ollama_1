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Geography" sheetId="2" state="visible" r:id="rId4"/>
    <sheet name="Climate" sheetId="3" state="visible" r:id="rId5"/>
    <sheet name="Solar &amp; Design" sheetId="4" state="visible" r:id="rId6"/>
    <sheet name="Notes &amp; 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<sst xmlns="http://schemas.openxmlformats.org/spreadsheetml/2006/main" count="235" uniqueCount="194">
  <si>
    <t xml:space="preserve">Region</t>
  </si>
  <si>
    <t xml:space="preserve">Type</t>
  </si>
  <si>
    <t xml:space="preserve">Representative city</t>
  </si>
  <si>
    <t xml:space="preserve">Rep. city lat (N)</t>
  </si>
  <si>
    <t xml:space="preserve">Rep. city lon (E)</t>
  </si>
  <si>
    <t xml:space="preserve">Rep. city elevation (m)</t>
  </si>
  <si>
    <t xml:space="preserve">Region lat min (N)</t>
  </si>
  <si>
    <t xml:space="preserve">Region lat max (N)</t>
  </si>
  <si>
    <t xml:space="preserve">GHI min (kWh/m2/day)</t>
  </si>
  <si>
    <t xml:space="preserve">GHI max (kWh/m2/day)</t>
  </si>
  <si>
    <t xml:space="preserve">GHI midpoint (kWh/m2/day)</t>
  </si>
  <si>
    <t xml:space="preserve">Yield min (kWh/kWp/yr)</t>
  </si>
  <si>
    <t xml:space="preserve">Yield max (kWh/kWp/yr)</t>
  </si>
  <si>
    <t xml:space="preserve">Yield midpoint (kWh/kWp/yr)</t>
  </si>
  <si>
    <t xml:space="preserve">Rainfall min (mm/yr)</t>
  </si>
  <si>
    <t xml:space="preserve">Rainfall max (mm/yr)</t>
  </si>
  <si>
    <t xml:space="preserve">Peak summer temp (C)</t>
  </si>
  <si>
    <t xml:space="preserve">Tilt min (deg)</t>
  </si>
  <si>
    <t xml:space="preserve">Tilt max (deg)</t>
  </si>
  <si>
    <t xml:space="preserve">Best months</t>
  </si>
  <si>
    <t xml:space="preserve">Worst months</t>
  </si>
  <si>
    <t xml:space="preserve">Main constraint</t>
  </si>
  <si>
    <t xml:space="preserve">Maharashtra</t>
  </si>
  <si>
    <t xml:space="preserve">State</t>
  </si>
  <si>
    <t xml:space="preserve">Pune</t>
  </si>
  <si>
    <t xml:space="preserve">Feb-May</t>
  </si>
  <si>
    <t xml:space="preserve">Jun-Sep</t>
  </si>
  <si>
    <t xml:space="preserve">Monsoon cloud; coastal corrosion</t>
  </si>
  <si>
    <t xml:space="preserve">Gujarat</t>
  </si>
  <si>
    <t xml:space="preserve">Ahmedabad</t>
  </si>
  <si>
    <t xml:space="preserve">Feb-May, Oct-Nov</t>
  </si>
  <si>
    <t xml:space="preserve">Jul-Aug</t>
  </si>
  <si>
    <t xml:space="preserve">Dust; cyclones; Kutch seismic Zone V</t>
  </si>
  <si>
    <t xml:space="preserve">Rajasthan</t>
  </si>
  <si>
    <t xml:space="preserve">Jodhpur</t>
  </si>
  <si>
    <t xml:space="preserve">Mar-May, Oct</t>
  </si>
  <si>
    <t xml:space="preserve">Soiling; water scarcity; heat derating</t>
  </si>
  <si>
    <t xml:space="preserve">Karnataka</t>
  </si>
  <si>
    <t xml:space="preserve">Bengaluru</t>
  </si>
  <si>
    <t xml:space="preserve">Monsoon cloud; coastal humidity</t>
  </si>
  <si>
    <t xml:space="preserve">Telangana</t>
  </si>
  <si>
    <t xml:space="preserve">Hyderabad</t>
  </si>
  <si>
    <t xml:space="preserve">Summer heat derating</t>
  </si>
  <si>
    <t xml:space="preserve">Ladakh (Leh)</t>
  </si>
  <si>
    <t xml:space="preserve">Union Territory</t>
  </si>
  <si>
    <t xml:space="preserve">Leh</t>
  </si>
  <si>
    <t xml:space="preserve">Mar-Oct</t>
  </si>
  <si>
    <t xml:space="preserve">Dec-Jan</t>
  </si>
  <si>
    <t xml:space="preserve">Snow; altitude logistics; seismic Zone IV-V</t>
  </si>
  <si>
    <t xml:space="preserve">All-region average</t>
  </si>
  <si>
    <t xml:space="preserve">Highest yield midpoint (region)</t>
  </si>
  <si>
    <t xml:space="preserve">Lowest yield midpoint (region)</t>
  </si>
  <si>
    <t xml:space="preserve">Legend: blue = input values (approximate, compiled for project use); black = formulas. Midpoints are simple averages of min and max. Rainfall max for Karnataka/Maharashtra reflects coastal and Ghats zones. Verify against Global Solar Atlas, NASA POWER, IMD, NIWE.</t>
  </si>
  <si>
    <t xml:space="preserve">Area (approx km2)</t>
  </si>
  <si>
    <t xml:space="preserve">Latitude range (N)</t>
  </si>
  <si>
    <t xml:space="preserve">Representative city / elevation</t>
  </si>
  <si>
    <t xml:space="preserve">Main regions and terrain</t>
  </si>
  <si>
    <t xml:space="preserve">Seismic zone (approx)</t>
  </si>
  <si>
    <t xml:space="preserve">Land and site notes</t>
  </si>
  <si>
    <t xml:space="preserve">15.6 - 22.0</t>
  </si>
  <si>
    <t xml:space="preserve">Pune (18.52 N, 73.86 E), about 560 m</t>
  </si>
  <si>
    <t xml:space="preserve">Konkan coast; Western Ghats (Sahyadri); Deccan plateau (Western Maharashtra, Marathwada); Vidarbha</t>
  </si>
  <si>
    <t xml:space="preserve">Mostly II-III; Koyna area IV</t>
  </si>
  <si>
    <t xml:space="preserve">Dense industrial belts (Pune, Nashik, Chhatrapati Sambhajinagar, Nagpur) good for rooftop; utility land easier in Marathwada and Vidarbha</t>
  </si>
  <si>
    <t xml:space="preserve">20.1 - 24.7</t>
  </si>
  <si>
    <t xml:space="preserve">Ahmedabad (23.02 N, 72.57 E), about 50 m</t>
  </si>
  <si>
    <t xml:space="preserve">Kutch (arid, Great and Little Rann); Saurashtra peninsula; North Gujarat plains; Central and South Gujarat; longest coastline in India (about 1,600 km)</t>
  </si>
  <si>
    <t xml:space="preserve">Kutch Zone V; much of state III-IV</t>
  </si>
  <si>
    <t xml:space="preserve">Parks at Charanka (Patan), Khavda (Kutch), Dholera; strong grid and roads; ports at Mundra and Kandla</t>
  </si>
  <si>
    <t xml:space="preserve">23.0 - 30.1</t>
  </si>
  <si>
    <t xml:space="preserve">Jodhpur (26.24 N, 73.02 E), about 230 m</t>
  </si>
  <si>
    <t xml:space="preserve">Thar Desert (Jaisalmer, Bikaner, Barmer, Jodhpur); Aravalli Range; eastern plains; Hadoti plateau (Kota)</t>
  </si>
  <si>
    <t xml:space="preserve">Mostly II-III; small parts IV</t>
  </si>
  <si>
    <t xml:space="preserve">Largest state; vast sparsely populated land for utility parks (Bhadla, Jodhpur, Jaisalmer, Pokaran); remote sites need transmission evacuation</t>
  </si>
  <si>
    <t xml:space="preserve">11.5 - 18.5</t>
  </si>
  <si>
    <t xml:space="preserve">Bengaluru (12.97 N, 77.59 E), about 920 m</t>
  </si>
  <si>
    <t xml:space="preserve">Coastal Karavali; Malnad (Western Ghats); Northern Interior (Raichur, Ballari, Koppal, Kalaburagi, Vijayapura); Southern Interior (Bengaluru, Mysuru, Tumakuru)</t>
  </si>
  <si>
    <t xml:space="preserve">Mostly II-III</t>
  </si>
  <si>
    <t xml:space="preserve">Pavagada Solar Park (Tumakuru); strong IT and industrial rooftop demand; port at Mangaluru</t>
  </si>
  <si>
    <t xml:space="preserve">15.8 - 19.9</t>
  </si>
  <si>
    <t xml:space="preserve">Hyderabad (17.39 N, 78.49 E), about 540 m</t>
  </si>
  <si>
    <t xml:space="preserve">Deccan plateau, average elevation 500-600 m; Godavari and Krishna rivers; forested hills in north-east; rocky terrain near Hyderabad</t>
  </si>
  <si>
    <t xml:space="preserve">Industrial and pharma base around Hyderabad; land in Mahabubnagar, Nalgonda, Khammam for utility scale; good NH and rail</t>
  </si>
  <si>
    <t xml:space="preserve">Union Territory (created 2019)</t>
  </si>
  <si>
    <t xml:space="preserve">32 - 36</t>
  </si>
  <si>
    <t xml:space="preserve">Leh (34.15 N, 77.58 E), about 3,500 m</t>
  </si>
  <si>
    <t xml:space="preserve">High-altitude cold desert between Karakoram and Great Himalaya; Indus valley; Zanskar, Ladakh and Karakoram ranges; Changthang and Pang plateaus</t>
  </si>
  <si>
    <t xml:space="preserve">Zone IV-V (high)</t>
  </si>
  <si>
    <t xml:space="preserve">Leh district about 45,000 km2; weak remote grid; hybrid solar + storage common; large-scale Pang renewable project planned (verify current status)</t>
  </si>
  <si>
    <t xml:space="preserve">Climate type</t>
  </si>
  <si>
    <t xml:space="preserve">Seasons</t>
  </si>
  <si>
    <t xml:space="preserve">Summer highs</t>
  </si>
  <si>
    <t xml:space="preserve">Winter lows</t>
  </si>
  <si>
    <t xml:space="preserve">Rainfall</t>
  </si>
  <si>
    <t xml:space="preserve">Monsoon period</t>
  </si>
  <si>
    <t xml:space="preserve">Hazards</t>
  </si>
  <si>
    <t xml:space="preserve">Tropical wet-and-dry</t>
  </si>
  <si>
    <t xml:space="preserve">Summer Mar-May; monsoon Jun-Sep; post-monsoon Oct-Nov; winter Dec-Feb</t>
  </si>
  <si>
    <t xml:space="preserve">35-42 C; Vidarbha (Nagpur, Chandrapur) 44-47 C</t>
  </si>
  <si>
    <t xml:space="preserve">8-15 C inland; 18-22 C coast</t>
  </si>
  <si>
    <t xml:space="preserve">Konkan 2,000-3,000+ mm; Ghats crest 5,000+ mm; Marathwada/Solapur rain shadow 500-750 mm; Vidarbha 900-1,200 mm</t>
  </si>
  <si>
    <t xml:space="preserve">Heavy monsoon cloud; coastal cyclones and humidity; summer heat in Vidarbha</t>
  </si>
  <si>
    <t xml:space="preserve">Arid to semi-arid (north, Kutch); sub-humid (south)</t>
  </si>
  <si>
    <t xml:space="preserve">Summer Mar-Jun; monsoon Jun-Sep; winter Nov-Feb</t>
  </si>
  <si>
    <t xml:space="preserve">40-47 C (Kutch, Ahmedabad, Surendranagar)</t>
  </si>
  <si>
    <t xml:space="preserve">8-15 C in north</t>
  </si>
  <si>
    <t xml:space="preserve">Kutch 300-400 mm; North 500-700 mm; South 1,500-2,000 mm; state average about 800 mm</t>
  </si>
  <si>
    <t xml:space="preserve">Arabian Sea cyclones; high winds; dust storms; salt corrosion on coast</t>
  </si>
  <si>
    <t xml:space="preserve">Hot desert (west); semi-arid (east)</t>
  </si>
  <si>
    <t xml:space="preserve">Summer Mar-Jun; short weak monsoon Jul-Sep; winter Nov-Feb</t>
  </si>
  <si>
    <t xml:space="preserve">42-48 C; above 50 C recorded in the west</t>
  </si>
  <si>
    <t xml:space="preserve">0-8 C in Shekhawati and north; occasional frost</t>
  </si>
  <si>
    <t xml:space="preserve">West below 250 mm (Jaisalmer 100-200 mm); East 600-800 mm; Mount Abu about 1,500+ mm</t>
  </si>
  <si>
    <t xml:space="preserve">Jul-Sep</t>
  </si>
  <si>
    <t xml:space="preserve">Dust and sandstorms (Apr-Jun); water scarcity; large day-night swing</t>
  </si>
  <si>
    <t xml:space="preserve">Tropical; moderate at elevation</t>
  </si>
  <si>
    <t xml:space="preserve">Summer Mar-May; monsoon Jun-Sep; winter Dec-Feb</t>
  </si>
  <si>
    <t xml:space="preserve">Northern interior 38-43 C; Bengaluru about 35 C</t>
  </si>
  <si>
    <t xml:space="preserve">Bengaluru about 15 C</t>
  </si>
  <si>
    <t xml:space="preserve">Coast 3,000-4,000 mm; Malnad 2,000-3,000 mm; Northern Interior 500-700 mm (drought-prone); Southern Interior 700-900 mm</t>
  </si>
  <si>
    <t xml:space="preserve">Heavy cloud on coast and Malnad; coastal humidity and salt; drought in north interior</t>
  </si>
  <si>
    <t xml:space="preserve">Semi-arid tropical</t>
  </si>
  <si>
    <t xml:space="preserve">Summer Mar-Jun; monsoon Jun-Sep; winter Dec-Feb</t>
  </si>
  <si>
    <t xml:space="preserve">40-45 C; Ramagundam, Adilabad, Khammam up to 46-47 C</t>
  </si>
  <si>
    <t xml:space="preserve">12-16 C</t>
  </si>
  <si>
    <t xml:space="preserve">About 900 mm average, about 80% from SW monsoon; North 1,000-1,200 mm; South about 700 mm</t>
  </si>
  <si>
    <t xml:space="preserve">Heat waves Apr-Jun; occasional hailstorms and thunderstorms</t>
  </si>
  <si>
    <t xml:space="preserve">Cold desert; very dry, thin air, intense UV</t>
  </si>
  <si>
    <t xml:space="preserve">Long cold winter Nov-Mar; short summer Jun-Sep</t>
  </si>
  <si>
    <t xml:space="preserve">July highs about 25-30 C</t>
  </si>
  <si>
    <t xml:space="preserve">January mean about -8 C; lows -20 C or below (Drass, Changthang about -30 C)</t>
  </si>
  <si>
    <t xml:space="preserve">About 100 mm/year (Leh), mostly winter snow</t>
  </si>
  <si>
    <t xml:space="preserve">Minimal</t>
  </si>
  <si>
    <t xml:space="preserve">Snow cover on panels (Dec-Feb); strong afternoon winds; flash floods and cloudbursts; frozen cleaning water</t>
  </si>
  <si>
    <t xml:space="preserve">Solar resource notes</t>
  </si>
  <si>
    <t xml:space="preserve">Large projects</t>
  </si>
  <si>
    <t xml:space="preserve">Panel tilt and orientation</t>
  </si>
  <si>
    <t xml:space="preserve">Soiling and cleaning</t>
  </si>
  <si>
    <t xml:space="preserve">Temperature effects</t>
  </si>
  <si>
    <t xml:space="preserve">Logistics and demand</t>
  </si>
  <si>
    <t xml:space="preserve">Best in dry interior (Marathwada, North Maharashtra, Solapur); lower on Konkan and Ghats. Peak Feb-May; lowest July.</t>
  </si>
  <si>
    <t xml:space="preserve">Multiple parks in Dhule, Solapur, Marathwada</t>
  </si>
  <si>
    <t xml:space="preserve">About 18-20 deg, south-facing</t>
  </si>
  <si>
    <t xml:space="preserve">Moderate inland; summer dust; clean every 2-4 weeks in dry season; coastal salt needs corrosion-resistant mounting</t>
  </si>
  <si>
    <t xml:space="preserve">Heat derating in Vidarbha summers</t>
  </si>
  <si>
    <t xml:space="preserve">Strong rooftop demand in Pune, Nashik, Chhatrapati Sambhajinagar, Nagpur</t>
  </si>
  <si>
    <t xml:space="preserve">Among India's strongest outside Rajasthan; high DNI in Kutch. Best Feb-May and Oct-Nov; weakest Jul-Aug.</t>
  </si>
  <si>
    <t xml:space="preserve">Charanka Solar Park (Patan); Khavda hybrid park (Kutch); Dholera</t>
  </si>
  <si>
    <t xml:space="preserve">About 20-23 deg, south-facing</t>
  </si>
  <si>
    <t xml:space="preserve">High in Kutch and Saurashtra (dust, salt); anti-corrosion and high wind-load rating on coast</t>
  </si>
  <si>
    <t xml:space="preserve">Heat derating in summer</t>
  </si>
  <si>
    <t xml:space="preserve">Industrial hubs Ahmedabad, Surat, Vadodara, Rajkot, Morbi; ports at Mundra and Kandla ease imports</t>
  </si>
  <si>
    <t xml:space="preserve">Highest in India; DNI above about 5.5 in west, good for CSP as well as PV; 300+ clear days. Best Mar-May and Oct; lowest Jul-Aug.</t>
  </si>
  <si>
    <t xml:space="preserve">Bhadla Solar Park (Jodhpur); Jodhpur and Jaisalmer clusters; Pokaran</t>
  </si>
  <si>
    <t xml:space="preserve">About 25-28 deg, south-facing</t>
  </si>
  <si>
    <t xml:space="preserve">Very high; frequent cleaning needed but water scarce; consider waterless or robotic cleaning</t>
  </si>
  <si>
    <t xml:space="preserve">Significant derating May-June; bifacial modules and ventilation help</t>
  </si>
  <si>
    <t xml:space="preserve">Remote sites need transmission capacity; long road logistics to desert sites</t>
  </si>
  <si>
    <t xml:space="preserve">Interior 5.2-5.8; coast and Malnad about 4.5-5.0 with strong monsoon dips. Best Feb-May; worst Jun-Sep.</t>
  </si>
  <si>
    <t xml:space="preserve">Pavagada Solar Park (Tumakuru); Raichur, Koppal, Kalaburagi clusters</t>
  </si>
  <si>
    <t xml:space="preserve">About 12-15 deg, south-facing</t>
  </si>
  <si>
    <t xml:space="preserve">Moderate in interior; coastal humidity and salt corrosion</t>
  </si>
  <si>
    <t xml:space="preserve">Moderate temperatures at Bengaluru elevation reduce heat losses</t>
  </si>
  <si>
    <t xml:space="preserve">IT and industrial hubs Bengaluru, Hubballi-Dharwad, Mysuru, Mangaluru; good roads and Mangaluru port</t>
  </si>
  <si>
    <t xml:space="preserve">Fairly uniform 5.3-5.8. Best Feb-May; weakest Jul-Aug.</t>
  </si>
  <si>
    <t xml:space="preserve">Mahabubnagar, Nalgonda, Khammam clusters</t>
  </si>
  <si>
    <t xml:space="preserve">About 15-18 deg, south-facing</t>
  </si>
  <si>
    <t xml:space="preserve">Moderate dust in dry season; monsoon rain helps natural cleaning</t>
  </si>
  <si>
    <t xml:space="preserve">Summer heat derating; check module temperature coefficient</t>
  </si>
  <si>
    <t xml:space="preserve">Strong pharma and industrial base around Hyderabad; good NH and rail connectivity</t>
  </si>
  <si>
    <t xml:space="preserve">Very clear skies, thin atmosphere, high DNI; best Mar-Oct; weaker Dec-Jan (low sun, snow).</t>
  </si>
  <si>
    <t xml:space="preserve">Pang-area large-scale renewable project planned (verify current status with MNRE/SECI)</t>
  </si>
  <si>
    <t xml:space="preserve">Steeper 30-40 deg for snow shedding; elevate structures above snow level</t>
  </si>
  <si>
    <t xml:space="preserve">Low soiling, but fine dust and snow-melt residue; water can freeze</t>
  </si>
  <si>
    <t xml:space="preserve">Cold raises module efficiency; use low-temperature rated components and cables</t>
  </si>
  <si>
    <t xml:space="preserve">Highways open only part of year (roughly May/Jun-Oct/Nov; Zojila and Baralacha closed in winter); Leh airport year round; weak grid, so hybrid solar + battery</t>
  </si>
  <si>
    <t xml:space="preserve">Item</t>
  </si>
  <si>
    <t xml:space="preserve">Detail</t>
  </si>
  <si>
    <t xml:space="preserve">Status</t>
  </si>
  <si>
    <t xml:space="preserve">Approximate values compiled for project use; not extracted from official datasets.</t>
  </si>
  <si>
    <t xml:space="preserve">Verify against</t>
  </si>
  <si>
    <t xml:space="preserve">Global Solar Atlas (globalsolaratlas.info); NASA POWER; IMD climate normals; NIWE Solar Radiation Atlas; BIS seismic zoning map.</t>
  </si>
  <si>
    <t xml:space="preserve">Access date</t>
  </si>
  <si>
    <t xml:space="preserve">____ (fill in when verified)</t>
  </si>
  <si>
    <t xml:space="preserve">Ladakh</t>
  </si>
  <si>
    <t xml:space="preserve">Union Territory created in 2019, not a state; Leh is the largest district.</t>
  </si>
  <si>
    <t xml:space="preserve">Representative cities</t>
  </si>
  <si>
    <t xml:space="preserve">One city per region is used for NASA POWER lookups in the agent (see COORDS in agent.py); results do not represent the whole region.</t>
  </si>
  <si>
    <t xml:space="preserve">GHI</t>
  </si>
  <si>
    <t xml:space="preserve">Global horizontal irradiance, kWh/m2/day. Ranges reflect variation across each region.</t>
  </si>
  <si>
    <t xml:space="preserve">Specific yield</t>
  </si>
  <si>
    <t xml:space="preserve">kWh generated per kWp installed per year; depends on tilt, losses, temperature and soiling.</t>
  </si>
  <si>
    <t xml:space="preserve">Tilt</t>
  </si>
  <si>
    <t xml:space="preserve">Rule of thumb: about latitude minus a few degrees, south-facing.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</si>
</sst>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3" min="11" style="0" width="12"/>
    <col collapsed="false" customWidth="true" hidden="false" outlineLevel="0" max="14" min="14" style="0" width="13"/>
    <col collapsed="false" customWidth="true" hidden="false" outlineLevel="0" max="17" min="15" style="0" width="11"/>
    <col collapsed="false" customWidth="true" hidden="false" outlineLevel="0" max="19" min="18" style="0" width="9"/>
    <col collapsed="false" customWidth="true" hidden="false" outlineLevel="0" max="20" min="20" style="0" width="18"/>
    <col collapsed="false" customWidth="true" hidden="false" outlineLevel="0" max="21" min="21" style="0" width="14"/>
    <col collapsed="false" customWidth="true" hidden="false" outlineLevel="0" max="22" min="22" style="0" width="36"/>
  </cols>
  <sheetData>
    <row r="1" customFormat="false" ht="5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  <c r="C2" s="2" t="s">
        <v>24</v>
      </c>
      <c r="D2" s="3" t="n">
        <v>18.52</v>
      </c>
      <c r="E2" s="3" t="n">
        <v>73.86</v>
      </c>
      <c r="F2" s="3" t="n">
        <v>560</v>
      </c>
      <c r="G2" s="3" t="n">
        <v>15.6</v>
      </c>
      <c r="H2" s="3" t="n">
        <v>22</v>
      </c>
      <c r="I2" s="4" t="n">
        <v>4.8</v>
      </c>
      <c r="J2" s="4" t="n">
        <v>5.8</v>
      </c>
      <c r="K2" s="5" t="n">
        <f aca="false">AVERAGE(I2:J2)</f>
        <v>5.3</v>
      </c>
      <c r="L2" s="6" t="n">
        <v>1450</v>
      </c>
      <c r="M2" s="6" t="n">
        <v>1600</v>
      </c>
      <c r="N2" s="7" t="n">
        <f aca="false">AVERAGE(L2:M2)</f>
        <v>1525</v>
      </c>
      <c r="O2" s="6" t="n">
        <v>500</v>
      </c>
      <c r="P2" s="6" t="n">
        <v>3000</v>
      </c>
      <c r="Q2" s="3" t="n">
        <v>47</v>
      </c>
      <c r="R2" s="3" t="n">
        <v>18</v>
      </c>
      <c r="S2" s="3" t="n">
        <v>20</v>
      </c>
      <c r="T2" s="2" t="s">
        <v>25</v>
      </c>
      <c r="U2" s="2" t="s">
        <v>26</v>
      </c>
      <c r="V2" s="2" t="s">
        <v>27</v>
      </c>
    </row>
    <row r="3" customFormat="false" ht="15" hidden="false" customHeight="false" outlineLevel="0" collapsed="false">
      <c r="A3" s="2" t="s">
        <v>28</v>
      </c>
      <c r="B3" s="2" t="s">
        <v>23</v>
      </c>
      <c r="C3" s="2" t="s">
        <v>29</v>
      </c>
      <c r="D3" s="3" t="n">
        <v>23.02</v>
      </c>
      <c r="E3" s="3" t="n">
        <v>72.57</v>
      </c>
      <c r="F3" s="3" t="n">
        <v>50</v>
      </c>
      <c r="G3" s="3" t="n">
        <v>20.1</v>
      </c>
      <c r="H3" s="3" t="n">
        <v>24.7</v>
      </c>
      <c r="I3" s="4" t="n">
        <v>5.3</v>
      </c>
      <c r="J3" s="4" t="n">
        <v>6</v>
      </c>
      <c r="K3" s="5" t="n">
        <f aca="false">AVERAGE(I3:J3)</f>
        <v>5.65</v>
      </c>
      <c r="L3" s="6" t="n">
        <v>1550</v>
      </c>
      <c r="M3" s="6" t="n">
        <v>1650</v>
      </c>
      <c r="N3" s="7" t="n">
        <f aca="false">AVERAGE(L3:M3)</f>
        <v>1600</v>
      </c>
      <c r="O3" s="6" t="n">
        <v>300</v>
      </c>
      <c r="P3" s="6" t="n">
        <v>2000</v>
      </c>
      <c r="Q3" s="3" t="n">
        <v>47</v>
      </c>
      <c r="R3" s="3" t="n">
        <v>20</v>
      </c>
      <c r="S3" s="3" t="n">
        <v>23</v>
      </c>
      <c r="T3" s="2" t="s">
        <v>30</v>
      </c>
      <c r="U3" s="2" t="s">
        <v>31</v>
      </c>
      <c r="V3" s="2" t="s">
        <v>32</v>
      </c>
    </row>
    <row r="4" customFormat="false" ht="15" hidden="false" customHeight="false" outlineLevel="0" collapsed="false">
      <c r="A4" s="2" t="s">
        <v>33</v>
      </c>
      <c r="B4" s="2" t="s">
        <v>23</v>
      </c>
      <c r="C4" s="2" t="s">
        <v>34</v>
      </c>
      <c r="D4" s="3" t="n">
        <v>26.24</v>
      </c>
      <c r="E4" s="3" t="n">
        <v>73.02</v>
      </c>
      <c r="F4" s="3" t="n">
        <v>230</v>
      </c>
      <c r="G4" s="3" t="n">
        <v>23</v>
      </c>
      <c r="H4" s="3" t="n">
        <v>30.1</v>
      </c>
      <c r="I4" s="4" t="n">
        <v>5.8</v>
      </c>
      <c r="J4" s="4" t="n">
        <v>6.5</v>
      </c>
      <c r="K4" s="5" t="n">
        <f aca="false">AVERAGE(I4:J4)</f>
        <v>6.15</v>
      </c>
      <c r="L4" s="6" t="n">
        <v>1600</v>
      </c>
      <c r="M4" s="6" t="n">
        <v>1750</v>
      </c>
      <c r="N4" s="7" t="n">
        <f aca="false">AVERAGE(L4:M4)</f>
        <v>1675</v>
      </c>
      <c r="O4" s="6" t="n">
        <v>100</v>
      </c>
      <c r="P4" s="6" t="n">
        <v>800</v>
      </c>
      <c r="Q4" s="3" t="n">
        <v>50</v>
      </c>
      <c r="R4" s="3" t="n">
        <v>25</v>
      </c>
      <c r="S4" s="3" t="n">
        <v>28</v>
      </c>
      <c r="T4" s="2" t="s">
        <v>35</v>
      </c>
      <c r="U4" s="2" t="s">
        <v>31</v>
      </c>
      <c r="V4" s="2" t="s">
        <v>36</v>
      </c>
    </row>
    <row r="5" customFormat="false" ht="15" hidden="false" customHeight="false" outlineLevel="0" collapsed="false">
      <c r="A5" s="2" t="s">
        <v>37</v>
      </c>
      <c r="B5" s="2" t="s">
        <v>23</v>
      </c>
      <c r="C5" s="2" t="s">
        <v>38</v>
      </c>
      <c r="D5" s="3" t="n">
        <v>12.97</v>
      </c>
      <c r="E5" s="3" t="n">
        <v>77.59</v>
      </c>
      <c r="F5" s="3" t="n">
        <v>920</v>
      </c>
      <c r="G5" s="3" t="n">
        <v>11.5</v>
      </c>
      <c r="H5" s="3" t="n">
        <v>18.5</v>
      </c>
      <c r="I5" s="4" t="n">
        <v>5.2</v>
      </c>
      <c r="J5" s="4" t="n">
        <v>5.8</v>
      </c>
      <c r="K5" s="5" t="n">
        <f aca="false">AVERAGE(I5:J5)</f>
        <v>5.5</v>
      </c>
      <c r="L5" s="6" t="n">
        <v>1450</v>
      </c>
      <c r="M5" s="6" t="n">
        <v>1600</v>
      </c>
      <c r="N5" s="7" t="n">
        <f aca="false">AVERAGE(L5:M5)</f>
        <v>1525</v>
      </c>
      <c r="O5" s="6" t="n">
        <v>500</v>
      </c>
      <c r="P5" s="6" t="n">
        <v>4000</v>
      </c>
      <c r="Q5" s="3" t="n">
        <v>43</v>
      </c>
      <c r="R5" s="3" t="n">
        <v>12</v>
      </c>
      <c r="S5" s="3" t="n">
        <v>15</v>
      </c>
      <c r="T5" s="2" t="s">
        <v>25</v>
      </c>
      <c r="U5" s="2" t="s">
        <v>26</v>
      </c>
      <c r="V5" s="2" t="s">
        <v>39</v>
      </c>
    </row>
    <row r="6" customFormat="false" ht="15" hidden="false" customHeight="false" outlineLevel="0" collapsed="false">
      <c r="A6" s="2" t="s">
        <v>40</v>
      </c>
      <c r="B6" s="2" t="s">
        <v>23</v>
      </c>
      <c r="C6" s="2" t="s">
        <v>41</v>
      </c>
      <c r="D6" s="3" t="n">
        <v>17.39</v>
      </c>
      <c r="E6" s="3" t="n">
        <v>78.49</v>
      </c>
      <c r="F6" s="3" t="n">
        <v>540</v>
      </c>
      <c r="G6" s="3" t="n">
        <v>15.8</v>
      </c>
      <c r="H6" s="3" t="n">
        <v>19.9</v>
      </c>
      <c r="I6" s="4" t="n">
        <v>5.3</v>
      </c>
      <c r="J6" s="4" t="n">
        <v>5.8</v>
      </c>
      <c r="K6" s="5" t="n">
        <f aca="false">AVERAGE(I6:J6)</f>
        <v>5.55</v>
      </c>
      <c r="L6" s="6" t="n">
        <v>1450</v>
      </c>
      <c r="M6" s="6" t="n">
        <v>1600</v>
      </c>
      <c r="N6" s="7" t="n">
        <f aca="false">AVERAGE(L6:M6)</f>
        <v>1525</v>
      </c>
      <c r="O6" s="6" t="n">
        <v>700</v>
      </c>
      <c r="P6" s="6" t="n">
        <v>1200</v>
      </c>
      <c r="Q6" s="3" t="n">
        <v>47</v>
      </c>
      <c r="R6" s="3" t="n">
        <v>15</v>
      </c>
      <c r="S6" s="3" t="n">
        <v>18</v>
      </c>
      <c r="T6" s="2" t="s">
        <v>25</v>
      </c>
      <c r="U6" s="2" t="s">
        <v>31</v>
      </c>
      <c r="V6" s="2" t="s">
        <v>42</v>
      </c>
    </row>
    <row r="7" customFormat="false" ht="15" hidden="false" customHeight="false" outlineLevel="0" collapsed="false">
      <c r="A7" s="2" t="s">
        <v>43</v>
      </c>
      <c r="B7" s="2" t="s">
        <v>44</v>
      </c>
      <c r="C7" s="2" t="s">
        <v>45</v>
      </c>
      <c r="D7" s="3" t="n">
        <v>34.15</v>
      </c>
      <c r="E7" s="3" t="n">
        <v>77.58</v>
      </c>
      <c r="F7" s="3" t="n">
        <v>3500</v>
      </c>
      <c r="G7" s="3" t="n">
        <v>32</v>
      </c>
      <c r="H7" s="3" t="n">
        <v>36</v>
      </c>
      <c r="I7" s="4" t="n">
        <v>5.5</v>
      </c>
      <c r="J7" s="4" t="n">
        <v>6.5</v>
      </c>
      <c r="K7" s="5" t="n">
        <f aca="false">AVERAGE(I7:J7)</f>
        <v>6</v>
      </c>
      <c r="L7" s="6" t="n">
        <v>1600</v>
      </c>
      <c r="M7" s="6" t="n">
        <v>1800</v>
      </c>
      <c r="N7" s="7" t="n">
        <f aca="false">AVERAGE(L7:M7)</f>
        <v>1700</v>
      </c>
      <c r="O7" s="6" t="n">
        <v>100</v>
      </c>
      <c r="P7" s="6" t="n">
        <v>100</v>
      </c>
      <c r="Q7" s="3" t="n">
        <v>30</v>
      </c>
      <c r="R7" s="3" t="n">
        <v>30</v>
      </c>
      <c r="S7" s="3" t="n">
        <v>40</v>
      </c>
      <c r="T7" s="2" t="s">
        <v>46</v>
      </c>
      <c r="U7" s="2" t="s">
        <v>47</v>
      </c>
      <c r="V7" s="2" t="s">
        <v>48</v>
      </c>
    </row>
    <row r="8" customFormat="false" ht="23.85" hidden="false" customHeight="false" outlineLevel="0" collapsed="false">
      <c r="A8" s="8" t="s">
        <v>49</v>
      </c>
      <c r="B8" s="8"/>
      <c r="C8" s="8"/>
      <c r="D8" s="8"/>
      <c r="E8" s="8"/>
      <c r="F8" s="8"/>
      <c r="G8" s="8"/>
      <c r="H8" s="8"/>
      <c r="I8" s="8"/>
      <c r="J8" s="8"/>
      <c r="K8" s="9" t="n">
        <f aca="false">AVERAGE(K2:K7)</f>
        <v>5.69166666666667</v>
      </c>
      <c r="L8" s="8"/>
      <c r="M8" s="8"/>
      <c r="N8" s="10" t="n">
        <f aca="false">AVERAGE(N2:N7)</f>
        <v>1591.66666666667</v>
      </c>
      <c r="O8" s="8"/>
      <c r="P8" s="8"/>
      <c r="Q8" s="8"/>
      <c r="R8" s="8"/>
      <c r="S8" s="8"/>
      <c r="T8" s="8"/>
      <c r="U8" s="8"/>
      <c r="V8" s="8"/>
    </row>
    <row r="9" customFormat="false" ht="23.85" hidden="false" customHeight="false" outlineLevel="0" collapsed="false">
      <c r="A9" s="8" t="s">
        <v>50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 t="str">
        <f aca="false">INDEX(A2:A7,MATCH(MAX(N2:N7),N2:N7,0))</f>
        <v>Ladakh (Leh)</v>
      </c>
      <c r="O9" s="8"/>
      <c r="P9" s="8"/>
      <c r="Q9" s="8"/>
      <c r="R9" s="8"/>
      <c r="S9" s="8"/>
      <c r="T9" s="8"/>
      <c r="U9" s="8"/>
      <c r="V9" s="8"/>
    </row>
    <row r="10" customFormat="false" ht="23.85" hidden="false" customHeight="false" outlineLevel="0" collapsed="false">
      <c r="A10" s="8" t="s">
        <v>51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 t="str">
        <f aca="false">INDEX(A2:A7,MATCH(MIN(N2:N7),N2:N7,0))</f>
        <v>Maharashtra</v>
      </c>
      <c r="O10" s="8"/>
      <c r="P10" s="8"/>
      <c r="Q10" s="8"/>
      <c r="R10" s="8"/>
      <c r="S10" s="8"/>
      <c r="T10" s="8"/>
      <c r="U10" s="8"/>
      <c r="V10" s="8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15" hidden="false" customHeight="false" outlineLevel="0" collapsed="false">
      <c r="A12" s="11" t="s">
        <v>52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20"/>
    <col collapsed="false" customWidth="true" hidden="false" outlineLevel="0" max="8" min="8" style="0" width="5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customFormat="false" ht="35.05" hidden="false" customHeight="false" outlineLevel="0" collapsed="false">
      <c r="A2" s="2" t="s">
        <v>22</v>
      </c>
      <c r="B2" s="2" t="s">
        <v>23</v>
      </c>
      <c r="C2" s="6" t="n">
        <v>307700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</row>
    <row r="3" customFormat="false" ht="35.05" hidden="false" customHeight="false" outlineLevel="0" collapsed="false">
      <c r="A3" s="2" t="s">
        <v>28</v>
      </c>
      <c r="B3" s="2" t="s">
        <v>23</v>
      </c>
      <c r="C3" s="6" t="n">
        <v>196000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</row>
    <row r="4" customFormat="false" ht="35.05" hidden="false" customHeight="false" outlineLevel="0" collapsed="false">
      <c r="A4" s="2" t="s">
        <v>33</v>
      </c>
      <c r="B4" s="2" t="s">
        <v>23</v>
      </c>
      <c r="C4" s="6" t="n">
        <v>342200</v>
      </c>
      <c r="D4" s="2" t="s">
        <v>69</v>
      </c>
      <c r="E4" s="2" t="s">
        <v>70</v>
      </c>
      <c r="F4" s="2" t="s">
        <v>71</v>
      </c>
      <c r="G4" s="2" t="s">
        <v>72</v>
      </c>
      <c r="H4" s="2" t="s">
        <v>73</v>
      </c>
    </row>
    <row r="5" customFormat="false" ht="35.05" hidden="false" customHeight="false" outlineLevel="0" collapsed="false">
      <c r="A5" s="2" t="s">
        <v>37</v>
      </c>
      <c r="B5" s="2" t="s">
        <v>23</v>
      </c>
      <c r="C5" s="6" t="n">
        <v>191800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</row>
    <row r="6" customFormat="false" ht="35.05" hidden="false" customHeight="false" outlineLevel="0" collapsed="false">
      <c r="A6" s="2" t="s">
        <v>40</v>
      </c>
      <c r="B6" s="2" t="s">
        <v>23</v>
      </c>
      <c r="C6" s="6" t="n">
        <v>112100</v>
      </c>
      <c r="D6" s="2" t="s">
        <v>79</v>
      </c>
      <c r="E6" s="2" t="s">
        <v>80</v>
      </c>
      <c r="F6" s="2" t="s">
        <v>81</v>
      </c>
      <c r="G6" s="2" t="s">
        <v>77</v>
      </c>
      <c r="H6" s="2" t="s">
        <v>82</v>
      </c>
    </row>
    <row r="7" customFormat="false" ht="35.05" hidden="false" customHeight="false" outlineLevel="0" collapsed="false">
      <c r="A7" s="2" t="s">
        <v>43</v>
      </c>
      <c r="B7" s="2" t="s">
        <v>83</v>
      </c>
      <c r="C7" s="6" t="n">
        <v>59000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48"/>
  </cols>
  <sheetData>
    <row r="1" customFormat="false" ht="23.85" hidden="false" customHeight="false" outlineLevel="0" collapsed="false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 customFormat="false" ht="35.05" hidden="false" customHeight="false" outlineLevel="0" collapsed="false">
      <c r="A2" s="2" t="s">
        <v>22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26</v>
      </c>
      <c r="H2" s="2" t="s">
        <v>101</v>
      </c>
    </row>
    <row r="3" customFormat="false" ht="23.85" hidden="false" customHeight="false" outlineLevel="0" collapsed="false">
      <c r="A3" s="2" t="s">
        <v>28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26</v>
      </c>
      <c r="H3" s="2" t="s">
        <v>107</v>
      </c>
    </row>
    <row r="4" customFormat="false" ht="23.85" hidden="false" customHeight="false" outlineLevel="0" collapsed="false">
      <c r="A4" s="2" t="s">
        <v>33</v>
      </c>
      <c r="B4" s="2" t="s">
        <v>108</v>
      </c>
      <c r="C4" s="2" t="s">
        <v>109</v>
      </c>
      <c r="D4" s="2" t="s">
        <v>110</v>
      </c>
      <c r="E4" s="2" t="s">
        <v>111</v>
      </c>
      <c r="F4" s="2" t="s">
        <v>112</v>
      </c>
      <c r="G4" s="2" t="s">
        <v>113</v>
      </c>
      <c r="H4" s="2" t="s">
        <v>114</v>
      </c>
    </row>
    <row r="5" customFormat="false" ht="35.05" hidden="false" customHeight="false" outlineLevel="0" collapsed="false">
      <c r="A5" s="2" t="s">
        <v>37</v>
      </c>
      <c r="B5" s="2" t="s">
        <v>115</v>
      </c>
      <c r="C5" s="2" t="s">
        <v>116</v>
      </c>
      <c r="D5" s="2" t="s">
        <v>117</v>
      </c>
      <c r="E5" s="2" t="s">
        <v>118</v>
      </c>
      <c r="F5" s="2" t="s">
        <v>119</v>
      </c>
      <c r="G5" s="2" t="s">
        <v>26</v>
      </c>
      <c r="H5" s="2" t="s">
        <v>120</v>
      </c>
    </row>
    <row r="6" customFormat="false" ht="23.85" hidden="false" customHeight="false" outlineLevel="0" collapsed="false">
      <c r="A6" s="2" t="s">
        <v>40</v>
      </c>
      <c r="B6" s="2" t="s">
        <v>121</v>
      </c>
      <c r="C6" s="2" t="s">
        <v>122</v>
      </c>
      <c r="D6" s="2" t="s">
        <v>123</v>
      </c>
      <c r="E6" s="2" t="s">
        <v>124</v>
      </c>
      <c r="F6" s="2" t="s">
        <v>125</v>
      </c>
      <c r="G6" s="2" t="s">
        <v>26</v>
      </c>
      <c r="H6" s="2" t="s">
        <v>126</v>
      </c>
    </row>
    <row r="7" customFormat="false" ht="35.05" hidden="false" customHeight="false" outlineLevel="0" collapsed="false">
      <c r="A7" s="2" t="s">
        <v>43</v>
      </c>
      <c r="B7" s="2" t="s">
        <v>127</v>
      </c>
      <c r="C7" s="2" t="s">
        <v>128</v>
      </c>
      <c r="D7" s="2" t="s">
        <v>129</v>
      </c>
      <c r="E7" s="2" t="s">
        <v>130</v>
      </c>
      <c r="F7" s="2" t="s">
        <v>131</v>
      </c>
      <c r="G7" s="2" t="s">
        <v>132</v>
      </c>
      <c r="H7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48"/>
  </cols>
  <sheetData>
    <row r="1" customFormat="false" ht="15" hidden="false" customHeight="false" outlineLevel="0" collapsed="false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</row>
    <row r="2" customFormat="false" ht="35.05" hidden="false" customHeight="false" outlineLevel="0" collapsed="false">
      <c r="A2" s="2" t="s">
        <v>22</v>
      </c>
      <c r="B2" s="2" t="s">
        <v>140</v>
      </c>
      <c r="C2" s="2" t="s">
        <v>141</v>
      </c>
      <c r="D2" s="2" t="s">
        <v>142</v>
      </c>
      <c r="E2" s="2" t="s">
        <v>143</v>
      </c>
      <c r="F2" s="2" t="s">
        <v>144</v>
      </c>
      <c r="G2" s="2" t="s">
        <v>145</v>
      </c>
    </row>
    <row r="3" customFormat="false" ht="23.85" hidden="false" customHeight="false" outlineLevel="0" collapsed="false">
      <c r="A3" s="2" t="s">
        <v>28</v>
      </c>
      <c r="B3" s="2" t="s">
        <v>146</v>
      </c>
      <c r="C3" s="2" t="s">
        <v>147</v>
      </c>
      <c r="D3" s="2" t="s">
        <v>148</v>
      </c>
      <c r="E3" s="2" t="s">
        <v>149</v>
      </c>
      <c r="F3" s="2" t="s">
        <v>150</v>
      </c>
      <c r="G3" s="2" t="s">
        <v>151</v>
      </c>
    </row>
    <row r="4" customFormat="false" ht="35.05" hidden="false" customHeight="false" outlineLevel="0" collapsed="false">
      <c r="A4" s="2" t="s">
        <v>33</v>
      </c>
      <c r="B4" s="2" t="s">
        <v>152</v>
      </c>
      <c r="C4" s="2" t="s">
        <v>153</v>
      </c>
      <c r="D4" s="2" t="s">
        <v>154</v>
      </c>
      <c r="E4" s="2" t="s">
        <v>155</v>
      </c>
      <c r="F4" s="2" t="s">
        <v>156</v>
      </c>
      <c r="G4" s="2" t="s">
        <v>157</v>
      </c>
    </row>
    <row r="5" customFormat="false" ht="23.85" hidden="false" customHeight="false" outlineLevel="0" collapsed="false">
      <c r="A5" s="2" t="s">
        <v>37</v>
      </c>
      <c r="B5" s="2" t="s">
        <v>158</v>
      </c>
      <c r="C5" s="2" t="s">
        <v>159</v>
      </c>
      <c r="D5" s="2" t="s">
        <v>160</v>
      </c>
      <c r="E5" s="2" t="s">
        <v>161</v>
      </c>
      <c r="F5" s="2" t="s">
        <v>162</v>
      </c>
      <c r="G5" s="2" t="s">
        <v>163</v>
      </c>
    </row>
    <row r="6" customFormat="false" ht="23.85" hidden="false" customHeight="false" outlineLevel="0" collapsed="false">
      <c r="A6" s="2" t="s">
        <v>40</v>
      </c>
      <c r="B6" s="2" t="s">
        <v>164</v>
      </c>
      <c r="C6" s="2" t="s">
        <v>165</v>
      </c>
      <c r="D6" s="2" t="s">
        <v>166</v>
      </c>
      <c r="E6" s="2" t="s">
        <v>167</v>
      </c>
      <c r="F6" s="2" t="s">
        <v>168</v>
      </c>
      <c r="G6" s="2" t="s">
        <v>169</v>
      </c>
    </row>
    <row r="7" customFormat="false" ht="35.05" hidden="false" customHeight="false" outlineLevel="0" collapsed="false">
      <c r="A7" s="2" t="s">
        <v>43</v>
      </c>
      <c r="B7" s="2" t="s">
        <v>170</v>
      </c>
      <c r="C7" s="2" t="s">
        <v>171</v>
      </c>
      <c r="D7" s="2" t="s">
        <v>172</v>
      </c>
      <c r="E7" s="2" t="s">
        <v>173</v>
      </c>
      <c r="F7" s="2" t="s">
        <v>174</v>
      </c>
      <c r="G7" s="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176</v>
      </c>
      <c r="B1" s="1" t="s">
        <v>177</v>
      </c>
    </row>
    <row r="2" customFormat="false" ht="15" hidden="false" customHeight="false" outlineLevel="0" collapsed="false">
      <c r="A2" s="8" t="s">
        <v>178</v>
      </c>
      <c r="B2" s="2" t="s">
        <v>179</v>
      </c>
    </row>
    <row r="3" customFormat="false" ht="15" hidden="false" customHeight="false" outlineLevel="0" collapsed="false">
      <c r="A3" s="8" t="s">
        <v>180</v>
      </c>
      <c r="B3" s="2" t="s">
        <v>181</v>
      </c>
    </row>
    <row r="4" customFormat="false" ht="15" hidden="false" customHeight="false" outlineLevel="0" collapsed="false">
      <c r="A4" s="8" t="s">
        <v>182</v>
      </c>
      <c r="B4" s="2" t="s">
        <v>183</v>
      </c>
    </row>
    <row r="5" customFormat="false" ht="15" hidden="false" customHeight="false" outlineLevel="0" collapsed="false">
      <c r="A5" s="8" t="s">
        <v>184</v>
      </c>
      <c r="B5" s="2" t="s">
        <v>185</v>
      </c>
    </row>
    <row r="6" customFormat="false" ht="23.85" hidden="false" customHeight="false" outlineLevel="0" collapsed="false">
      <c r="A6" s="8" t="s">
        <v>186</v>
      </c>
      <c r="B6" s="2" t="s">
        <v>187</v>
      </c>
    </row>
    <row r="7" customFormat="false" ht="15" hidden="false" customHeight="false" outlineLevel="0" collapsed="false">
      <c r="A7" s="8" t="s">
        <v>188</v>
      </c>
      <c r="B7" s="2" t="s">
        <v>189</v>
      </c>
    </row>
    <row r="8" customFormat="false" ht="15" hidden="false" customHeight="false" outlineLevel="0" collapsed="false">
      <c r="A8" s="8" t="s">
        <v>190</v>
      </c>
      <c r="B8" s="2" t="s">
        <v>191</v>
      </c>
    </row>
    <row r="9" customFormat="false" ht="15" hidden="false" customHeight="false" outlineLevel="0" collapsed="false">
      <c r="A9" s="8" t="s">
        <v>192</v>
      </c>
      <c r="B9" s="2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2026-10-13T07:06:02Z</dcterms:created>
  <dc:creator>openpyxl</dc:creator>
  <dc:description/>
  <dc:language>en-US</dc:language>
  <cp:lastModifiedBy/>
  <dcterms:modified xsi:type="dcterms:W3CDTF">2026-10-13T07:06:02Z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